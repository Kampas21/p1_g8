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6F229F8C-65E0-4867-ABBA-9308424430B1}"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E10" i="11"/>
  <c r="I5" i="11"/>
  <c r="H33" i="11"/>
  <c r="H32" i="11"/>
  <c r="H31" i="11"/>
  <c r="H30" i="11"/>
  <c r="H29" i="11"/>
  <c r="H28" i="11"/>
  <c r="H26" i="11"/>
  <c r="H20" i="11"/>
  <c r="H14" i="11"/>
  <c r="H8" i="11"/>
  <c r="H21" i="11" l="1"/>
  <c r="E11" i="11"/>
  <c r="I6" i="11"/>
  <c r="H22" i="11" l="1"/>
  <c r="H9" i="11"/>
  <c r="H27" i="11"/>
  <c r="H10" i="11"/>
  <c r="H15" i="11"/>
  <c r="H13" i="11"/>
  <c r="E12" i="11"/>
  <c r="J5" i="11"/>
  <c r="K5" i="11" s="1"/>
  <c r="L5" i="11" s="1"/>
  <c r="M5" i="11" s="1"/>
  <c r="N5" i="11" s="1"/>
  <c r="O5" i="11" s="1"/>
  <c r="P5" i="11" s="1"/>
  <c r="I4" i="11"/>
  <c r="H25" i="11" l="1"/>
  <c r="H23" i="1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l="1"/>
  <c r="AY5" i="1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<sst xmlns="http://schemas.openxmlformats.org/spreadsheetml/2006/main" count="46" uniqueCount="45">
  <si>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</si>
  <si>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GRÁFICO GANTT SIMPLE de Vertex42.com</t>
  </si>
  <si>
    <t>Escriba el nombre de la compañía en la celda B2.</t>
  </si>
  <si>
    <t>https://www.vertex42.com/ExcelTemplates/simple-gantt-chart.html</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</si>
  <si>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</si>
  <si>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</si>
  <si>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</si>
  <si>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</si>
  <si>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</si>
  <si>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</si>
  <si>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</si>
  <si>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</si>
  <si>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</si>
  <si>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</si>
  <si>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</si>
  <si>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</si>
  <si>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</si>
  <si>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</si>
  <si>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Título de la fase 1</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</si>
  <si>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</si>
  <si>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Nombre</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</si>
  <si>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</si>
  <si>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</si>
  <si>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</si>
  <si>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</si>
  <si>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</si>
  <si>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</si>
  <si>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</si>
  <si>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</si>
  <si>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</si>
  <si>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</si>
  <si>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</si>
  <si>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</si>
  <si>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</si>
  <si>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</si>
  <si>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</si>
  <si>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</si>
  <si>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</si>
  <si>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</si>
  <si>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</si>
  <si>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BISTRO FDI</t>
  </si>
  <si>
    <t>Entrega 1</t>
  </si>
  <si>
    <t>Entrega 2</t>
  </si>
  <si>
    <t>Entrega 3</t>
  </si>
  <si>
    <t>Entrega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</si>
</sst>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
    <numFmt numFmtId="168" formatCode="ddd\,\ yyyy\-mm\-dd;@"/>
    <numFmt numFmtId="169" formatCode="d\ &quot;de&quot;\ mmmm\ &quot;de&quot;\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7" fontId="11" fillId="7" borderId="6" xfId="0" applyNumberFormat="1" applyFont="1" applyFill="1" applyBorder="1" applyAlignment="1">
      <alignment horizontal="center" vertical="center"/>
    </xf>
    <xf numFmtId="167" fontId="11" fillId="7" borderId="0" xfId="0" applyNumberFormat="1" applyFont="1" applyFill="1" applyAlignment="1">
      <alignment horizontal="center" vertical="center"/>
    </xf>
    <xf numFmtId="167"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BL12" sqref="BL12"/>
    </sheetView>
  </sheetViews>
  <sheetFormatPr baseColWidth="10" defaultColWidth="9.109375" defaultRowHeight="30" customHeight="1" x14ac:dyDescent="0.3"/>
  <cols>
    <col min="1" max="1" width="2.6640625" style="45" customWidth="1"/>
    <col min="2" max="2" width="29.6640625" customWidth="1"/>
    <col min="3" max="3" width="30.6640625" customWidth="1"/>
    <col min="4" max="4" width="10.6640625" customWidth="1"/>
    <col min="5" max="5" width="10.44140625" style="5" customWidth="1"/>
    <col min="6" max="6" width="10.44140625" customWidth="1"/>
    <col min="7" max="7" width="3.109375" customWidth="1"/>
    <col min="8" max="8" width="6.109375" hidden="1" customWidth="1"/>
    <col min="9" max="64" width="3.109375" customWidth="1"/>
    <col min="69" max="70" width="10.33203125"/>
  </cols>
  <sheetData>
    <row r="1" spans="1:64" ht="30" customHeight="1" x14ac:dyDescent="0.55000000000000004">
      <c r="A1" s="46" t="s">
        <v>0</v>
      </c>
      <c r="B1" s="49" t="s">
        <v>40</v>
      </c>
      <c r="C1" s="1"/>
      <c r="D1" s="2"/>
      <c r="E1" s="4"/>
      <c r="F1" s="34"/>
      <c r="H1" s="2"/>
      <c r="I1" s="67"/>
    </row>
    <row r="2" spans="1:64" ht="30" customHeight="1" x14ac:dyDescent="0.35">
      <c r="A2" s="45" t="s">
        <v>2</v>
      </c>
      <c r="B2" s="50"/>
      <c r="I2" s="68"/>
    </row>
    <row r="3" spans="1:64" ht="30" customHeight="1" x14ac:dyDescent="0.3">
      <c r="A3" s="45" t="s">
        <v>4</v>
      </c>
      <c r="B3" s="51"/>
      <c r="C3" s="88" t="s">
        <v>5</v>
      </c>
      <c r="D3" s="89"/>
      <c r="E3" s="93">
        <v>46057</v>
      </c>
      <c r="F3" s="93"/>
    </row>
    <row r="4" spans="1:64" ht="30" customHeight="1" x14ac:dyDescent="0.3">
      <c r="A4" s="46" t="s">
        <v>6</v>
      </c>
      <c r="C4" s="88" t="s">
        <v>7</v>
      </c>
      <c r="D4" s="89"/>
      <c r="E4" s="7">
        <v>3</v>
      </c>
      <c r="I4" s="90">
        <f>I5</f>
        <v>46069</v>
      </c>
      <c r="J4" s="91"/>
      <c r="K4" s="91"/>
      <c r="L4" s="91"/>
      <c r="M4" s="91"/>
      <c r="N4" s="91"/>
      <c r="O4" s="92"/>
      <c r="P4" s="90">
        <f>P5</f>
        <v>46076</v>
      </c>
      <c r="Q4" s="91"/>
      <c r="R4" s="91"/>
      <c r="S4" s="91"/>
      <c r="T4" s="91"/>
      <c r="U4" s="91"/>
      <c r="V4" s="92"/>
      <c r="W4" s="90">
        <f>W5</f>
        <v>46083</v>
      </c>
      <c r="X4" s="91"/>
      <c r="Y4" s="91"/>
      <c r="Z4" s="91"/>
      <c r="AA4" s="91"/>
      <c r="AB4" s="91"/>
      <c r="AC4" s="92"/>
      <c r="AD4" s="90">
        <f>AD5</f>
        <v>46090</v>
      </c>
      <c r="AE4" s="91"/>
      <c r="AF4" s="91"/>
      <c r="AG4" s="91"/>
      <c r="AH4" s="91"/>
      <c r="AI4" s="91"/>
      <c r="AJ4" s="92"/>
      <c r="AK4" s="90">
        <f>AK5</f>
        <v>46097</v>
      </c>
      <c r="AL4" s="91"/>
      <c r="AM4" s="91"/>
      <c r="AN4" s="91"/>
      <c r="AO4" s="91"/>
      <c r="AP4" s="91"/>
      <c r="AQ4" s="92"/>
      <c r="AR4" s="90">
        <f>AR5</f>
        <v>46104</v>
      </c>
      <c r="AS4" s="91"/>
      <c r="AT4" s="91"/>
      <c r="AU4" s="91"/>
      <c r="AV4" s="91"/>
      <c r="AW4" s="91"/>
      <c r="AX4" s="92"/>
      <c r="AY4" s="90">
        <f>AY5</f>
        <v>46111</v>
      </c>
      <c r="AZ4" s="91"/>
      <c r="BA4" s="91"/>
      <c r="BB4" s="91"/>
      <c r="BC4" s="91"/>
      <c r="BD4" s="91"/>
      <c r="BE4" s="92"/>
      <c r="BF4" s="90">
        <f>BF5</f>
        <v>46118</v>
      </c>
      <c r="BG4" s="91"/>
      <c r="BH4" s="91"/>
      <c r="BI4" s="91"/>
      <c r="BJ4" s="91"/>
      <c r="BK4" s="91"/>
      <c r="BL4" s="92"/>
    </row>
    <row r="5" spans="1:64" ht="15" customHeight="1" x14ac:dyDescent="0.3">
      <c r="A5" s="46" t="s">
        <v>8</v>
      </c>
      <c r="B5" s="66"/>
      <c r="C5" s="66"/>
      <c r="D5" s="66"/>
      <c r="E5" s="66"/>
      <c r="F5" s="66"/>
      <c r="G5" s="66"/>
      <c r="I5" s="85">
        <f>Inicio_del_proyecto-WEEKDAY(Inicio_del_proyecto,1)+2+7*(Semana_para_mostrar-1)</f>
        <v>46069</v>
      </c>
      <c r="J5" s="86">
        <f>I5+1</f>
        <v>46070</v>
      </c>
      <c r="K5" s="86">
        <f t="shared" ref="K5:AX5" si="0">J5+1</f>
        <v>46071</v>
      </c>
      <c r="L5" s="86">
        <f t="shared" si="0"/>
        <v>46072</v>
      </c>
      <c r="M5" s="86">
        <f t="shared" si="0"/>
        <v>46073</v>
      </c>
      <c r="N5" s="86">
        <f t="shared" si="0"/>
        <v>46074</v>
      </c>
      <c r="O5" s="87">
        <f t="shared" si="0"/>
        <v>46075</v>
      </c>
      <c r="P5" s="85">
        <f>O5+1</f>
        <v>46076</v>
      </c>
      <c r="Q5" s="86">
        <f>P5+1</f>
        <v>46077</v>
      </c>
      <c r="R5" s="86">
        <f t="shared" si="0"/>
        <v>46078</v>
      </c>
      <c r="S5" s="86">
        <f t="shared" si="0"/>
        <v>46079</v>
      </c>
      <c r="T5" s="86">
        <f t="shared" si="0"/>
        <v>46080</v>
      </c>
      <c r="U5" s="86">
        <f t="shared" si="0"/>
        <v>46081</v>
      </c>
      <c r="V5" s="87">
        <f t="shared" si="0"/>
        <v>46082</v>
      </c>
      <c r="W5" s="85">
        <f>V5+1</f>
        <v>46083</v>
      </c>
      <c r="X5" s="86">
        <f>W5+1</f>
        <v>46084</v>
      </c>
      <c r="Y5" s="86">
        <f t="shared" si="0"/>
        <v>46085</v>
      </c>
      <c r="Z5" s="86">
        <f t="shared" si="0"/>
        <v>46086</v>
      </c>
      <c r="AA5" s="86">
        <f t="shared" si="0"/>
        <v>46087</v>
      </c>
      <c r="AB5" s="86">
        <f t="shared" si="0"/>
        <v>46088</v>
      </c>
      <c r="AC5" s="87">
        <f t="shared" si="0"/>
        <v>46089</v>
      </c>
      <c r="AD5" s="85">
        <f>AC5+1</f>
        <v>46090</v>
      </c>
      <c r="AE5" s="86">
        <f>AD5+1</f>
        <v>46091</v>
      </c>
      <c r="AF5" s="86">
        <f t="shared" si="0"/>
        <v>46092</v>
      </c>
      <c r="AG5" s="86">
        <f t="shared" si="0"/>
        <v>46093</v>
      </c>
      <c r="AH5" s="86">
        <f t="shared" si="0"/>
        <v>46094</v>
      </c>
      <c r="AI5" s="86">
        <f t="shared" si="0"/>
        <v>46095</v>
      </c>
      <c r="AJ5" s="87">
        <f t="shared" si="0"/>
        <v>46096</v>
      </c>
      <c r="AK5" s="85">
        <f>AJ5+1</f>
        <v>46097</v>
      </c>
      <c r="AL5" s="86">
        <f>AK5+1</f>
        <v>46098</v>
      </c>
      <c r="AM5" s="86">
        <f t="shared" si="0"/>
        <v>46099</v>
      </c>
      <c r="AN5" s="86">
        <f t="shared" si="0"/>
        <v>46100</v>
      </c>
      <c r="AO5" s="86">
        <f t="shared" si="0"/>
        <v>46101</v>
      </c>
      <c r="AP5" s="86">
        <f t="shared" si="0"/>
        <v>46102</v>
      </c>
      <c r="AQ5" s="87">
        <f t="shared" si="0"/>
        <v>46103</v>
      </c>
      <c r="AR5" s="85">
        <f>AQ5+1</f>
        <v>46104</v>
      </c>
      <c r="AS5" s="86">
        <f>AR5+1</f>
        <v>46105</v>
      </c>
      <c r="AT5" s="86">
        <f t="shared" si="0"/>
        <v>46106</v>
      </c>
      <c r="AU5" s="86">
        <f t="shared" si="0"/>
        <v>46107</v>
      </c>
      <c r="AV5" s="86">
        <f t="shared" si="0"/>
        <v>46108</v>
      </c>
      <c r="AW5" s="86">
        <f t="shared" si="0"/>
        <v>46109</v>
      </c>
      <c r="AX5" s="87">
        <f t="shared" si="0"/>
        <v>46110</v>
      </c>
      <c r="AY5" s="85">
        <f>AX5+1</f>
        <v>46111</v>
      </c>
      <c r="AZ5" s="86">
        <f>AY5+1</f>
        <v>46112</v>
      </c>
      <c r="BA5" s="86">
        <f t="shared" ref="BA5:BE5" si="1">AZ5+1</f>
        <v>46113</v>
      </c>
      <c r="BB5" s="86">
        <f t="shared" si="1"/>
        <v>46114</v>
      </c>
      <c r="BC5" s="86">
        <f t="shared" si="1"/>
        <v>46115</v>
      </c>
      <c r="BD5" s="86">
        <f t="shared" si="1"/>
        <v>46116</v>
      </c>
      <c r="BE5" s="87">
        <f t="shared" si="1"/>
        <v>46117</v>
      </c>
      <c r="BF5" s="85">
        <f>BE5+1</f>
        <v>46118</v>
      </c>
      <c r="BG5" s="86">
        <f>BF5+1</f>
        <v>46119</v>
      </c>
      <c r="BH5" s="86">
        <f t="shared" ref="BH5:BL5" si="2">BG5+1</f>
        <v>46120</v>
      </c>
      <c r="BI5" s="86">
        <f t="shared" si="2"/>
        <v>46121</v>
      </c>
      <c r="BJ5" s="86">
        <f t="shared" si="2"/>
        <v>46122</v>
      </c>
      <c r="BK5" s="86">
        <f t="shared" si="2"/>
        <v>46123</v>
      </c>
      <c r="BL5" s="87">
        <f t="shared" si="2"/>
        <v>46124</v>
      </c>
    </row>
    <row r="6" spans="1:64" ht="30" customHeight="1" thickBot="1" x14ac:dyDescent="0.35">
      <c r="A6" s="46" t="s">
        <v>9</v>
      </c>
      <c r="B6" s="8" t="s">
        <v>10</v>
      </c>
      <c r="C6" s="9" t="s">
        <v>11</v>
      </c>
      <c r="D6" s="9" t="s">
        <v>12</v>
      </c>
      <c r="E6" s="9" t="s">
        <v>13</v>
      </c>
      <c r="F6" s="9" t="s">
        <v>14</v>
      </c>
      <c r="G6" s="9"/>
      <c r="H6" s="9" t="s">
        <v>15</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5">
      <c r="A7" s="45" t="s">
        <v>16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17</v>
      </c>
      <c r="B8" s="15" t="s">
        <v>18</v>
      </c>
      <c r="C8" s="52"/>
      <c r="D8" s="16"/>
      <c r="E8" s="70"/>
      <c r="F8" s="71"/>
      <c r="G8" s="14"/>
      <c r="H8" s="14" t="str">
        <f t="shared" ref="H8:H33"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19</v>
      </c>
      <c r="B9" s="61" t="s">
        <v>41</v>
      </c>
      <c r="C9" s="53" t="s">
        <v>20</v>
      </c>
      <c r="D9" s="17">
        <v>1</v>
      </c>
      <c r="E9" s="72">
        <f>Inicio_del_proyecto</f>
        <v>46057</v>
      </c>
      <c r="F9" s="72">
        <v>46071</v>
      </c>
      <c r="G9" s="14"/>
      <c r="H9" s="14">
        <f t="shared" si="6"/>
        <v>15</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21</v>
      </c>
      <c r="B10" s="61" t="s">
        <v>42</v>
      </c>
      <c r="C10" s="53"/>
      <c r="D10" s="17">
        <v>0</v>
      </c>
      <c r="E10" s="72">
        <f>F9</f>
        <v>46071</v>
      </c>
      <c r="F10" s="72">
        <v>46087</v>
      </c>
      <c r="G10" s="14"/>
      <c r="H10" s="14">
        <f t="shared" si="6"/>
        <v>17</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43</v>
      </c>
      <c r="C11" s="53"/>
      <c r="D11" s="17">
        <v>0</v>
      </c>
      <c r="E11" s="72">
        <f>F10</f>
        <v>46087</v>
      </c>
      <c r="F11" s="72">
        <v>46120</v>
      </c>
      <c r="G11" s="14"/>
      <c r="H11" s="14">
        <f t="shared" si="6"/>
        <v>34</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44</v>
      </c>
      <c r="C12" s="53"/>
      <c r="D12" s="17">
        <v>0</v>
      </c>
      <c r="E12" s="72">
        <f>F11</f>
        <v>46120</v>
      </c>
      <c r="F12" s="72">
        <v>46145</v>
      </c>
      <c r="G12" s="14"/>
      <c r="H12" s="14">
        <f t="shared" si="6"/>
        <v>26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c r="C13" s="53"/>
      <c r="D13" s="17"/>
      <c r="E13" s="72"/>
      <c r="F13" s="72"/>
      <c r="G13" s="14"/>
      <c r="H13" s="14" t="str">
        <f t="shared" si="6"/>
        <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t="s">
        <v>22</v>
      </c>
      <c r="B14" s="18"/>
      <c r="C14" s="54"/>
      <c r="D14" s="19"/>
      <c r="E14" s="73"/>
      <c r="F14" s="7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c r="B15" s="62"/>
      <c r="C15" s="55"/>
      <c r="D15" s="20"/>
      <c r="E15" s="75"/>
      <c r="F15" s="75"/>
      <c r="G15" s="14"/>
      <c r="H15" s="14" t="str">
        <f t="shared" si="6"/>
        <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c r="C16" s="55"/>
      <c r="D16" s="20"/>
      <c r="E16" s="75"/>
      <c r="F16" s="75"/>
      <c r="G16" s="14"/>
      <c r="H16" s="14" t="str">
        <f t="shared" si="6"/>
        <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c r="C17" s="55"/>
      <c r="D17" s="20"/>
      <c r="E17" s="75"/>
      <c r="F17" s="75"/>
      <c r="G17" s="14"/>
      <c r="H17" s="14" t="str">
        <f t="shared" si="6"/>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c r="C18" s="55"/>
      <c r="D18" s="20"/>
      <c r="E18" s="75"/>
      <c r="F18" s="75"/>
      <c r="G18" s="14"/>
      <c r="H18" s="14" t="str">
        <f t="shared" si="6"/>
        <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c r="C19" s="55"/>
      <c r="D19" s="20"/>
      <c r="E19" s="75"/>
      <c r="F19" s="75"/>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t="s">
        <v>23</v>
      </c>
      <c r="B20" s="21"/>
      <c r="C20" s="56"/>
      <c r="D20" s="22"/>
      <c r="E20" s="76"/>
      <c r="F20" s="77"/>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c r="C21" s="57"/>
      <c r="D21" s="23"/>
      <c r="E21" s="78"/>
      <c r="F21" s="78"/>
      <c r="G21" s="14"/>
      <c r="H21" s="14" t="str">
        <f t="shared" si="6"/>
        <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3"/>
      <c r="C22" s="57"/>
      <c r="D22" s="23"/>
      <c r="E22" s="78"/>
      <c r="F22" s="78"/>
      <c r="G22" s="14"/>
      <c r="H22" s="14" t="str">
        <f t="shared" si="6"/>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c r="C23" s="57"/>
      <c r="D23" s="23"/>
      <c r="E23" s="78"/>
      <c r="F23" s="78"/>
      <c r="G23" s="14"/>
      <c r="H23" s="14" t="str">
        <f t="shared" si="6"/>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c r="C24" s="57"/>
      <c r="D24" s="23"/>
      <c r="E24" s="78"/>
      <c r="F24" s="78"/>
      <c r="G24" s="14"/>
      <c r="H24" s="14" t="str">
        <f t="shared" si="6"/>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c r="C25" s="57"/>
      <c r="D25" s="23"/>
      <c r="E25" s="78"/>
      <c r="F25" s="78"/>
      <c r="G25" s="14"/>
      <c r="H25" s="14" t="str">
        <f t="shared" si="6"/>
        <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t="s">
        <v>23</v>
      </c>
      <c r="B26" s="24"/>
      <c r="C26" s="58"/>
      <c r="D26" s="25"/>
      <c r="E26" s="79"/>
      <c r="F26" s="80"/>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c r="C27" s="59"/>
      <c r="D27" s="26"/>
      <c r="E27" s="81"/>
      <c r="F27" s="81"/>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4"/>
      <c r="C28" s="59"/>
      <c r="D28" s="26"/>
      <c r="E28" s="81"/>
      <c r="F28" s="81"/>
      <c r="G28" s="14"/>
      <c r="H28" s="14" t="str">
        <f t="shared" si="6"/>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c r="C29" s="59"/>
      <c r="D29" s="26"/>
      <c r="E29" s="81"/>
      <c r="F29" s="81"/>
      <c r="G29" s="14"/>
      <c r="H29" s="14" t="str">
        <f t="shared" si="6"/>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c r="C30" s="59"/>
      <c r="D30" s="26"/>
      <c r="E30" s="81"/>
      <c r="F30" s="81"/>
      <c r="G30" s="14"/>
      <c r="H30" s="14" t="str">
        <f t="shared" si="6"/>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c r="C31" s="59"/>
      <c r="D31" s="26"/>
      <c r="E31" s="81"/>
      <c r="F31" s="81"/>
      <c r="G31" s="14"/>
      <c r="H31" s="14" t="str">
        <f t="shared" si="6"/>
        <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t="s">
        <v>24</v>
      </c>
      <c r="B32" s="65"/>
      <c r="C32" s="60"/>
      <c r="D32" s="13"/>
      <c r="E32" s="82"/>
      <c r="F32" s="82"/>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6" t="s">
        <v>25</v>
      </c>
      <c r="B33" s="27" t="s">
        <v>26</v>
      </c>
      <c r="C33" s="28"/>
      <c r="D33" s="29"/>
      <c r="E33" s="83"/>
      <c r="F33" s="84"/>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
      <c r="G34" s="6"/>
    </row>
    <row r="35" spans="1:64" ht="30" customHeight="1" x14ac:dyDescent="0.3">
      <c r="C35" s="11"/>
      <c r="F35" s="47"/>
    </row>
    <row r="36" spans="1:64" ht="30" customHeight="1" x14ac:dyDescent="0.3">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5" customWidth="1"/>
    <col min="2" max="16384" width="9.109375" style="2"/>
  </cols>
  <sheetData>
    <row r="1" spans="1:2" ht="46.5" customHeight="1" x14ac:dyDescent="0.3"/>
    <row r="2" spans="1:2" s="37" customFormat="1" ht="15.6" x14ac:dyDescent="0.3">
      <c r="A2" s="36" t="s">
        <v>1</v>
      </c>
      <c r="B2" s="36"/>
    </row>
    <row r="3" spans="1:2" s="41" customFormat="1" ht="27" customHeight="1" x14ac:dyDescent="0.3">
      <c r="A3" s="69" t="s">
        <v>3</v>
      </c>
      <c r="B3" s="42"/>
    </row>
    <row r="4" spans="1:2" s="38" customFormat="1" ht="25.8" x14ac:dyDescent="0.5">
      <c r="A4" s="39" t="s">
        <v>27</v>
      </c>
    </row>
    <row r="5" spans="1:2" ht="74.099999999999994" customHeight="1" x14ac:dyDescent="0.3">
      <c r="A5" s="40" t="s">
        <v>28</v>
      </c>
    </row>
    <row r="6" spans="1:2" ht="26.25" customHeight="1" x14ac:dyDescent="0.3">
      <c r="A6" s="39" t="s">
        <v>29</v>
      </c>
    </row>
    <row r="7" spans="1:2" s="35" customFormat="1" ht="228" customHeight="1" x14ac:dyDescent="0.3">
      <c r="A7" s="44" t="s">
        <v>30</v>
      </c>
    </row>
    <row r="8" spans="1:2" s="38" customFormat="1" ht="25.8" x14ac:dyDescent="0.5">
      <c r="A8" s="39" t="s">
        <v>31</v>
      </c>
    </row>
    <row r="9" spans="1:2" ht="57.6" x14ac:dyDescent="0.3">
      <c r="A9" s="40" t="s">
        <v>32</v>
      </c>
    </row>
    <row r="10" spans="1:2" s="35" customFormat="1" ht="27.9" customHeight="1" x14ac:dyDescent="0.3">
      <c r="A10" s="43" t="s">
        <v>33</v>
      </c>
    </row>
    <row r="11" spans="1:2" s="38" customFormat="1" ht="25.8" x14ac:dyDescent="0.5">
      <c r="A11" s="39" t="s">
        <v>34</v>
      </c>
    </row>
    <row r="12" spans="1:2" ht="28.8" x14ac:dyDescent="0.3">
      <c r="A12" s="40" t="s">
        <v>35</v>
      </c>
    </row>
    <row r="13" spans="1:2" s="35" customFormat="1" ht="27.9" customHeight="1" x14ac:dyDescent="0.3">
      <c r="A13" s="43" t="s">
        <v>36</v>
      </c>
    </row>
    <row r="14" spans="1:2" s="38" customFormat="1" ht="25.8" x14ac:dyDescent="0.5">
      <c r="A14" s="39" t="s">
        <v>37</v>
      </c>
    </row>
    <row r="15" spans="1:2" ht="93.75" customHeight="1" x14ac:dyDescent="0.3">
      <c r="A15" s="40" t="s">
        <v>38</v>
      </c>
    </row>
    <row r="16" spans="1:2" ht="86.4" x14ac:dyDescent="0.3">
      <c r="A16" s="40" t="s">
        <v>39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16c05727-aa75-4e4a-9b5f-8a80a1165891"/>
    <ds:schemaRef ds:uri="230e9df3-be65-4c73-a93b-d1236ebd677e"/>
    <ds:schemaRef ds:uri="http://schemas.microsoft.com/office/2006/documentManagement/types"/>
    <ds:schemaRef ds:uri="http://purl.org/dc/terms/"/>
    <ds:schemaRef ds:uri="http://schemas.microsoft.com/sharepoint/v3"/>
    <ds:schemaRef ds:uri="http://purl.org/dc/elements/1.1/"/>
    <ds:schemaRef ds:uri="http://schemas.microsoft.com/office/infopath/2007/PartnerControls"/>
    <ds:schemaRef ds:uri="http://schemas.openxmlformats.org/package/2006/metadata/core-properties"/>
    <ds:schemaRef ds:uri="71af3243-3dd4-4a8d-8c0d-dd76da1f02a5"/>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2026-02-17T15:20:29Z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